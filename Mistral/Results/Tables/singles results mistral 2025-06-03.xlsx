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"/>
    </mc:Choice>
  </mc:AlternateContent>
  <xr:revisionPtr revIDLastSave="0" documentId="13_ncr:1_{66808F04-AA5A-490A-A421-DA610D55803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גיליון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2" l="1"/>
  <c r="Q14" i="2"/>
  <c r="P14" i="2"/>
  <c r="O14" i="2"/>
  <c r="R10" i="2"/>
  <c r="Q10" i="2"/>
  <c r="P10" i="2"/>
  <c r="O10" i="2"/>
  <c r="R6" i="2"/>
  <c r="Q6" i="2"/>
  <c r="P6" i="2"/>
  <c r="O6" i="2"/>
  <c r="R2" i="2"/>
  <c r="Q2" i="2"/>
  <c r="O2" i="2"/>
  <c r="R14" i="1"/>
  <c r="Q14" i="1"/>
  <c r="P14" i="1"/>
  <c r="O14" i="1"/>
  <c r="R10" i="1"/>
  <c r="Q10" i="1"/>
  <c r="P10" i="1"/>
  <c r="O10" i="1"/>
  <c r="R6" i="1"/>
  <c r="Q6" i="1"/>
  <c r="P6" i="1"/>
  <c r="O6" i="1"/>
  <c r="R2" i="1"/>
  <c r="Q2" i="1"/>
  <c r="P2" i="1"/>
  <c r="O2" i="1"/>
</calcChain>
</file>

<file path=xl/sharedStrings.xml><?xml version="1.0" encoding="utf-8"?>
<sst xmlns="http://schemas.openxmlformats.org/spreadsheetml/2006/main" count="158" uniqueCount="19">
  <si>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</si>
  <si>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</si>
  <si>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</si>
  <si>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</si>
  <si>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</si>
  <si>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</si>
  <si>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</si>
  <si>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</si>
  <si>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</si>
  <si>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</si>
  <si>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</si>
  <si>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</si>
  <si>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Mistral-7B-v0.1</t>
  </si>
  <si>
    <t>best_median</t>
  </si>
  <si>
    <t>Old Results</t>
  </si>
  <si>
    <t>New Results</t>
  </si>
  <si>
    <t>Differences between results</t>
  </si>
  <si>
    <t>New Dataset (5K samples) with New Top Params</t>
  </si>
  <si>
    <t>New Dataset (5K samples) with Old Top 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</si>
</sst>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0" fontId="2" fillId="0" borderId="5" xfId="0" applyFont="1" applyBorder="1"/>
    <xf numFmtId="0" fontId="2" fillId="0" borderId="6" xfId="0" applyFont="1" applyBorder="1"/>
    <xf numFmtId="0" fontId="2" fillId="2" borderId="6" xfId="0" applyFont="1" applyFill="1" applyBorder="1"/>
    <xf numFmtId="0" fontId="2" fillId="2" borderId="5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applyFont="1"/>
    <xf numFmtId="0" fontId="0" fillId="0" borderId="8" xfId="0" applyFont="1" applyBorder="1"/>
    <xf numFmtId="0" fontId="0" fillId="0" borderId="11" xfId="0" applyFont="1" applyBorder="1"/>
    <xf numFmtId="0" fontId="0" fillId="0" borderId="12" xfId="0" applyFont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2" borderId="0" xfId="0" applyFont="1" applyFill="1"/>
    <xf numFmtId="0" fontId="0" fillId="2" borderId="8" xfId="0" applyFont="1" applyFill="1" applyBorder="1"/>
    <xf numFmtId="0" fontId="0" fillId="2" borderId="11" xfId="0" applyFont="1" applyFill="1" applyBorder="1"/>
    <xf numFmtId="0" fontId="0" fillId="2" borderId="12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E19" sqref="E19:R19"/>
    </sheetView>
  </sheetViews>
  <sheetFormatPr defaultRowHeight="14.25" x14ac:dyDescent="0.2"/>
  <cols>
    <col min="2" max="2" width="14.25" bestFit="1" customWidth="1"/>
    <col min="3" max="3" width="10.25" bestFit="1" customWidth="1"/>
    <col min="4" max="4" width="12.75" hidden="1" customWidth="1"/>
    <col min="7" max="7" width="9.5" bestFit="1" customWidth="1"/>
    <col min="8" max="8" width="10.25" bestFit="1" customWidth="1"/>
  </cols>
  <sheetData>
    <row r="1" spans="1:1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4</v>
      </c>
      <c r="K1" s="2" t="s">
        <v>5</v>
      </c>
      <c r="L1" s="2" t="s">
        <v>6</v>
      </c>
      <c r="M1" s="2" t="s">
        <v>7</v>
      </c>
    </row>
    <row r="2" spans="1:18" ht="15" x14ac:dyDescent="0.25">
      <c r="A2" s="3" t="s">
        <v>8</v>
      </c>
      <c r="B2" s="4" t="s">
        <v>12</v>
      </c>
      <c r="C2" s="4" t="s">
        <v>4</v>
      </c>
      <c r="D2" s="4" t="s">
        <v>13</v>
      </c>
      <c r="E2" s="5">
        <v>0.89990000000000003</v>
      </c>
      <c r="F2" s="5">
        <v>0.61799999999999999</v>
      </c>
      <c r="G2" s="25">
        <v>0.71499999999999997</v>
      </c>
      <c r="H2" s="26">
        <v>0.71789999999999998</v>
      </c>
      <c r="J2" s="5">
        <v>0.8901</v>
      </c>
      <c r="K2" s="5">
        <v>0.59870000000000001</v>
      </c>
      <c r="L2" s="25">
        <v>0.70530000000000004</v>
      </c>
      <c r="M2" s="25">
        <v>0.69799999999999995</v>
      </c>
      <c r="O2">
        <f>(E2-J2)*100</f>
        <v>0.98000000000000309</v>
      </c>
      <c r="P2">
        <f t="shared" ref="P2:R2" si="0">(F2-K2)*100</f>
        <v>1.9299999999999984</v>
      </c>
      <c r="Q2">
        <f t="shared" si="0"/>
        <v>0.96999999999999309</v>
      </c>
      <c r="R2">
        <f t="shared" si="0"/>
        <v>1.9900000000000029</v>
      </c>
    </row>
    <row r="3" spans="1:18" ht="15" x14ac:dyDescent="0.2">
      <c r="A3" s="7" t="s">
        <v>9</v>
      </c>
      <c r="B3" s="1" t="s">
        <v>12</v>
      </c>
      <c r="C3" s="1" t="s">
        <v>4</v>
      </c>
      <c r="D3" s="1" t="s">
        <v>13</v>
      </c>
      <c r="E3">
        <v>0.89880000000000004</v>
      </c>
      <c r="F3">
        <v>0.7208</v>
      </c>
      <c r="G3">
        <v>0.76060000000000005</v>
      </c>
      <c r="H3" s="8">
        <v>0.7651</v>
      </c>
      <c r="J3">
        <v>0.88829999999999998</v>
      </c>
      <c r="K3">
        <v>0.70960000000000001</v>
      </c>
      <c r="L3">
        <v>0.73650000000000004</v>
      </c>
      <c r="M3">
        <v>0.74629999999999996</v>
      </c>
    </row>
    <row r="4" spans="1:18" ht="15" x14ac:dyDescent="0.2">
      <c r="A4" s="7" t="s">
        <v>10</v>
      </c>
      <c r="B4" s="1" t="s">
        <v>12</v>
      </c>
      <c r="C4" s="1" t="s">
        <v>4</v>
      </c>
      <c r="D4" s="1" t="s">
        <v>13</v>
      </c>
      <c r="E4">
        <v>0.88929999999999998</v>
      </c>
      <c r="F4">
        <v>0.98680000000000001</v>
      </c>
      <c r="G4">
        <v>0.90259999999999996</v>
      </c>
      <c r="H4" s="8">
        <v>0.92169999999999996</v>
      </c>
      <c r="J4">
        <v>0.87370000000000003</v>
      </c>
      <c r="K4">
        <v>0.97889999999999999</v>
      </c>
      <c r="L4">
        <v>0.82240000000000002</v>
      </c>
      <c r="M4">
        <v>0.88949999999999996</v>
      </c>
    </row>
    <row r="5" spans="1:18" ht="15.75" thickBot="1" x14ac:dyDescent="0.25">
      <c r="A5" s="9" t="s">
        <v>11</v>
      </c>
      <c r="B5" s="10" t="s">
        <v>12</v>
      </c>
      <c r="C5" s="10" t="s">
        <v>4</v>
      </c>
      <c r="D5" s="10" t="s">
        <v>13</v>
      </c>
      <c r="E5" s="11">
        <v>0.90849999999999997</v>
      </c>
      <c r="F5" s="11">
        <v>0.56789999999999996</v>
      </c>
      <c r="G5" s="11">
        <v>0.65739999999999998</v>
      </c>
      <c r="H5" s="12">
        <v>0.6542</v>
      </c>
      <c r="J5" s="11">
        <v>0.90410000000000001</v>
      </c>
      <c r="K5" s="11">
        <v>0.55700000000000005</v>
      </c>
      <c r="L5" s="11">
        <v>0.67410000000000003</v>
      </c>
      <c r="M5" s="11">
        <v>0.64700000000000002</v>
      </c>
    </row>
    <row r="6" spans="1:18" ht="15" x14ac:dyDescent="0.25">
      <c r="A6" s="13" t="s">
        <v>8</v>
      </c>
      <c r="B6" s="14" t="s">
        <v>12</v>
      </c>
      <c r="C6" s="14" t="s">
        <v>5</v>
      </c>
      <c r="D6" s="14" t="s">
        <v>13</v>
      </c>
      <c r="E6" s="28">
        <v>0.71050000000000002</v>
      </c>
      <c r="F6" s="15">
        <v>0.91910000000000003</v>
      </c>
      <c r="G6" s="15">
        <v>0.65859999999999996</v>
      </c>
      <c r="H6" s="27">
        <v>0.69410000000000005</v>
      </c>
      <c r="J6" s="25">
        <v>0.70509999999999995</v>
      </c>
      <c r="K6" s="5">
        <v>0.91379999999999995</v>
      </c>
      <c r="L6" s="5">
        <v>0.61119999999999997</v>
      </c>
      <c r="M6" s="25">
        <v>0.70069999999999999</v>
      </c>
      <c r="O6">
        <f>(E6-J6)*100</f>
        <v>0.54000000000000714</v>
      </c>
      <c r="P6">
        <f t="shared" ref="P6:R6" si="1">(F6-K6)*100</f>
        <v>0.53000000000000824</v>
      </c>
      <c r="Q6">
        <f t="shared" si="1"/>
        <v>4.74</v>
      </c>
      <c r="R6">
        <f t="shared" si="1"/>
        <v>-0.65999999999999392</v>
      </c>
    </row>
    <row r="7" spans="1:18" ht="15" x14ac:dyDescent="0.2">
      <c r="A7" s="17" t="s">
        <v>9</v>
      </c>
      <c r="B7" s="18" t="s">
        <v>12</v>
      </c>
      <c r="C7" s="18" t="s">
        <v>5</v>
      </c>
      <c r="D7" s="18" t="s">
        <v>13</v>
      </c>
      <c r="E7" s="19">
        <v>0.74319999999999997</v>
      </c>
      <c r="F7" s="19">
        <v>0.92120000000000002</v>
      </c>
      <c r="G7" s="19">
        <v>0.59619999999999995</v>
      </c>
      <c r="H7" s="20">
        <v>0.64639999999999997</v>
      </c>
      <c r="J7">
        <v>0.73129999999999995</v>
      </c>
      <c r="K7">
        <v>0.9153</v>
      </c>
      <c r="L7">
        <v>0.4698</v>
      </c>
      <c r="M7">
        <v>0.6149</v>
      </c>
    </row>
    <row r="8" spans="1:18" ht="15" x14ac:dyDescent="0.2">
      <c r="A8" s="17" t="s">
        <v>10</v>
      </c>
      <c r="B8" s="18" t="s">
        <v>12</v>
      </c>
      <c r="C8" s="18" t="s">
        <v>5</v>
      </c>
      <c r="D8" s="18" t="s">
        <v>13</v>
      </c>
      <c r="E8" s="19">
        <v>0.83550000000000002</v>
      </c>
      <c r="F8" s="19">
        <v>0.94610000000000005</v>
      </c>
      <c r="G8" s="19">
        <v>0.50919999999999999</v>
      </c>
      <c r="H8" s="20">
        <v>0.55920000000000003</v>
      </c>
      <c r="J8">
        <v>0.80130000000000001</v>
      </c>
      <c r="K8">
        <v>0.93289999999999995</v>
      </c>
      <c r="L8">
        <v>0.34610000000000002</v>
      </c>
      <c r="M8">
        <v>0.4803</v>
      </c>
    </row>
    <row r="9" spans="1:18" ht="15.75" thickBot="1" x14ac:dyDescent="0.25">
      <c r="A9" s="21" t="s">
        <v>11</v>
      </c>
      <c r="B9" s="22" t="s">
        <v>12</v>
      </c>
      <c r="C9" s="22" t="s">
        <v>5</v>
      </c>
      <c r="D9" s="22" t="s">
        <v>13</v>
      </c>
      <c r="E9" s="23">
        <v>0.67330000000000001</v>
      </c>
      <c r="F9" s="23">
        <v>0.89770000000000005</v>
      </c>
      <c r="G9" s="23">
        <v>0.72599999999999998</v>
      </c>
      <c r="H9" s="24">
        <v>0.76849999999999996</v>
      </c>
      <c r="J9" s="11">
        <v>0.67610000000000003</v>
      </c>
      <c r="K9" s="11">
        <v>0.89900000000000002</v>
      </c>
      <c r="L9" s="11">
        <v>0.74139999999999995</v>
      </c>
      <c r="M9" s="11">
        <v>0.86229999999999996</v>
      </c>
    </row>
    <row r="10" spans="1:18" ht="15" x14ac:dyDescent="0.25">
      <c r="A10" s="3" t="s">
        <v>8</v>
      </c>
      <c r="B10" s="4" t="s">
        <v>12</v>
      </c>
      <c r="C10" s="4" t="s">
        <v>6</v>
      </c>
      <c r="D10" s="4" t="s">
        <v>13</v>
      </c>
      <c r="E10" s="25">
        <v>0.68179999999999996</v>
      </c>
      <c r="F10" s="5">
        <v>0.58950000000000002</v>
      </c>
      <c r="G10" s="5">
        <v>0.96319999999999995</v>
      </c>
      <c r="H10" s="6">
        <v>0.64539999999999997</v>
      </c>
      <c r="J10" s="5">
        <v>0.65939999999999999</v>
      </c>
      <c r="K10" s="5">
        <v>0.63719999999999999</v>
      </c>
      <c r="L10" s="5">
        <v>0.93030000000000002</v>
      </c>
      <c r="M10" s="25">
        <v>0.70920000000000005</v>
      </c>
      <c r="O10">
        <f>(E10-J10)*100</f>
        <v>2.2399999999999975</v>
      </c>
      <c r="P10">
        <f t="shared" ref="P10:R10" si="2">(F10-K10)*100</f>
        <v>-4.769999999999996</v>
      </c>
      <c r="Q10">
        <f t="shared" si="2"/>
        <v>3.2899999999999929</v>
      </c>
      <c r="R10">
        <f t="shared" si="2"/>
        <v>-6.3800000000000079</v>
      </c>
    </row>
    <row r="11" spans="1:18" ht="15" x14ac:dyDescent="0.2">
      <c r="A11" s="7" t="s">
        <v>9</v>
      </c>
      <c r="B11" s="1" t="s">
        <v>12</v>
      </c>
      <c r="C11" s="1" t="s">
        <v>6</v>
      </c>
      <c r="D11" s="1" t="s">
        <v>13</v>
      </c>
      <c r="E11">
        <v>0.67190000000000005</v>
      </c>
      <c r="F11">
        <v>0.64710000000000001</v>
      </c>
      <c r="G11">
        <v>0.96330000000000005</v>
      </c>
      <c r="H11" s="8">
        <v>0.52639999999999998</v>
      </c>
      <c r="J11">
        <v>0.68769999999999998</v>
      </c>
      <c r="K11">
        <v>0.68210000000000004</v>
      </c>
      <c r="L11">
        <v>0.93020000000000003</v>
      </c>
      <c r="M11">
        <v>0.67649999999999999</v>
      </c>
    </row>
    <row r="12" spans="1:18" ht="15" x14ac:dyDescent="0.2">
      <c r="A12" s="7" t="s">
        <v>10</v>
      </c>
      <c r="B12" s="1" t="s">
        <v>12</v>
      </c>
      <c r="C12" s="1" t="s">
        <v>6</v>
      </c>
      <c r="D12" s="1" t="s">
        <v>13</v>
      </c>
      <c r="E12">
        <v>0.65739999999999998</v>
      </c>
      <c r="F12">
        <v>0.75529999999999997</v>
      </c>
      <c r="G12">
        <v>0.96319999999999995</v>
      </c>
      <c r="H12" s="8">
        <v>0.40789999999999998</v>
      </c>
      <c r="J12">
        <v>0.75719999999999998</v>
      </c>
      <c r="K12">
        <v>0.78290000000000004</v>
      </c>
      <c r="L12">
        <v>0.92889999999999995</v>
      </c>
      <c r="M12">
        <v>0.61450000000000005</v>
      </c>
    </row>
    <row r="13" spans="1:18" ht="15.75" thickBot="1" x14ac:dyDescent="0.25">
      <c r="A13" s="9" t="s">
        <v>11</v>
      </c>
      <c r="B13" s="10" t="s">
        <v>12</v>
      </c>
      <c r="C13" s="10" t="s">
        <v>6</v>
      </c>
      <c r="D13" s="10" t="s">
        <v>13</v>
      </c>
      <c r="E13" s="11">
        <v>0.6966</v>
      </c>
      <c r="F13" s="11">
        <v>0.56689999999999996</v>
      </c>
      <c r="G13" s="11">
        <v>0.9637</v>
      </c>
      <c r="H13" s="12">
        <v>0.76980000000000004</v>
      </c>
      <c r="J13" s="11">
        <v>0.63680000000000003</v>
      </c>
      <c r="K13" s="11">
        <v>0.60580000000000001</v>
      </c>
      <c r="L13" s="11">
        <v>0.93149999999999999</v>
      </c>
      <c r="M13" s="11">
        <v>0.75949999999999995</v>
      </c>
    </row>
    <row r="14" spans="1:18" ht="15" x14ac:dyDescent="0.25">
      <c r="A14" s="13" t="s">
        <v>8</v>
      </c>
      <c r="B14" s="14" t="s">
        <v>12</v>
      </c>
      <c r="C14" s="14" t="s">
        <v>7</v>
      </c>
      <c r="D14" s="14" t="s">
        <v>13</v>
      </c>
      <c r="E14" s="28">
        <v>0.69279999999999997</v>
      </c>
      <c r="F14" s="15">
        <v>0.50719999999999998</v>
      </c>
      <c r="G14" s="15">
        <v>0.66779999999999995</v>
      </c>
      <c r="H14" s="16">
        <v>0.93489999999999995</v>
      </c>
      <c r="J14" s="25">
        <v>0.68220000000000003</v>
      </c>
      <c r="K14" s="5">
        <v>0.51780000000000004</v>
      </c>
      <c r="L14" s="25">
        <v>0.67830000000000001</v>
      </c>
      <c r="M14" s="5">
        <v>0.93420000000000003</v>
      </c>
      <c r="O14">
        <f>(E14-J14)*100</f>
        <v>1.0599999999999943</v>
      </c>
      <c r="P14">
        <f t="shared" ref="P14:R14" si="3">(F14-K14)*100</f>
        <v>-1.0600000000000054</v>
      </c>
      <c r="Q14">
        <f t="shared" si="3"/>
        <v>-1.0500000000000065</v>
      </c>
      <c r="R14">
        <f t="shared" si="3"/>
        <v>6.9999999999992291E-2</v>
      </c>
    </row>
    <row r="15" spans="1:18" ht="15" x14ac:dyDescent="0.2">
      <c r="A15" s="17" t="s">
        <v>9</v>
      </c>
      <c r="B15" s="18" t="s">
        <v>12</v>
      </c>
      <c r="C15" s="18" t="s">
        <v>7</v>
      </c>
      <c r="D15" s="18" t="s">
        <v>13</v>
      </c>
      <c r="E15" s="19">
        <v>0.73140000000000005</v>
      </c>
      <c r="F15" s="19">
        <v>0.66779999999999995</v>
      </c>
      <c r="G15" s="19">
        <v>0.67259999999999998</v>
      </c>
      <c r="H15" s="20">
        <v>0.93589999999999995</v>
      </c>
      <c r="J15">
        <v>0.7278</v>
      </c>
      <c r="K15">
        <v>0.67320000000000002</v>
      </c>
      <c r="L15">
        <v>0.66069999999999995</v>
      </c>
      <c r="M15">
        <v>0.93430000000000002</v>
      </c>
    </row>
    <row r="16" spans="1:18" ht="15" x14ac:dyDescent="0.2">
      <c r="A16" s="17" t="s">
        <v>10</v>
      </c>
      <c r="B16" s="18" t="s">
        <v>12</v>
      </c>
      <c r="C16" s="18" t="s">
        <v>7</v>
      </c>
      <c r="D16" s="18" t="s">
        <v>13</v>
      </c>
      <c r="E16" s="19">
        <v>0.83420000000000005</v>
      </c>
      <c r="F16" s="19">
        <v>0.99080000000000001</v>
      </c>
      <c r="G16" s="19">
        <v>0.68289999999999995</v>
      </c>
      <c r="H16" s="20">
        <v>0.95130000000000003</v>
      </c>
      <c r="J16">
        <v>0.84609999999999996</v>
      </c>
      <c r="K16">
        <v>0.99339999999999995</v>
      </c>
      <c r="L16">
        <v>0.625</v>
      </c>
      <c r="M16">
        <v>0.93679999999999997</v>
      </c>
    </row>
    <row r="17" spans="1:18" ht="15.75" thickBot="1" x14ac:dyDescent="0.25">
      <c r="A17" s="21" t="s">
        <v>11</v>
      </c>
      <c r="B17" s="22" t="s">
        <v>12</v>
      </c>
      <c r="C17" s="22" t="s">
        <v>7</v>
      </c>
      <c r="D17" s="22" t="s">
        <v>13</v>
      </c>
      <c r="E17" s="23">
        <v>0.65349999999999997</v>
      </c>
      <c r="F17" s="23">
        <v>0.50370000000000004</v>
      </c>
      <c r="G17" s="23">
        <v>0.66520000000000001</v>
      </c>
      <c r="H17" s="24">
        <v>0.92120000000000002</v>
      </c>
      <c r="J17" s="11">
        <v>0.64600000000000002</v>
      </c>
      <c r="K17" s="11">
        <v>0.5091</v>
      </c>
      <c r="L17" s="11">
        <v>0.70369999999999999</v>
      </c>
      <c r="M17" s="11">
        <v>0.9325</v>
      </c>
    </row>
    <row r="19" spans="1:18" ht="15" x14ac:dyDescent="0.25">
      <c r="E19" s="42" t="s">
        <v>15</v>
      </c>
      <c r="F19" s="42"/>
      <c r="G19" s="42"/>
      <c r="H19" s="42"/>
      <c r="I19" s="41"/>
      <c r="J19" s="42" t="s">
        <v>14</v>
      </c>
      <c r="K19" s="42"/>
      <c r="L19" s="42"/>
      <c r="M19" s="42"/>
      <c r="N19" s="41"/>
      <c r="O19" s="42" t="s">
        <v>16</v>
      </c>
      <c r="P19" s="42"/>
      <c r="Q19" s="42"/>
      <c r="R19" s="42"/>
    </row>
  </sheetData>
  <mergeCells count="3">
    <mergeCell ref="E19:H19"/>
    <mergeCell ref="J19:M19"/>
    <mergeCell ref="O19:R19"/>
  </mergeCells>
  <conditionalFormatting sqref="E2:H2 E6:H6 E10:H10 E14:H14">
    <cfRule type="colorScale" priority="5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J2:M2 J6:M6 J10:M10 J14:M14">
    <cfRule type="colorScale" priority="4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O2:R14">
    <cfRule type="cellIs" dxfId="5" priority="1" operator="lessThan">
      <formula>-1</formula>
    </cfRule>
    <cfRule type="cellIs" dxfId="4" priority="2" operator="greaterThan">
      <formula>1</formula>
    </cfRule>
    <cfRule type="cellIs" dxfId="3" priority="3" operator="greaterThan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B71C-96B5-4595-9064-BAB92D1C7D80}">
  <dimension ref="A1:R20"/>
  <sheetViews>
    <sheetView tabSelected="1" workbookViewId="0">
      <selection activeCell="L14" sqref="L14"/>
    </sheetView>
  </sheetViews>
  <sheetFormatPr defaultRowHeight="14.25" x14ac:dyDescent="0.2"/>
  <cols>
    <col min="2" max="2" width="14.25" bestFit="1" customWidth="1"/>
    <col min="3" max="3" width="10.25" bestFit="1" customWidth="1"/>
    <col min="4" max="4" width="0" hidden="1" customWidth="1"/>
  </cols>
  <sheetData>
    <row r="1" spans="1:1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4</v>
      </c>
      <c r="K1" s="2" t="s">
        <v>5</v>
      </c>
      <c r="L1" s="2" t="s">
        <v>6</v>
      </c>
      <c r="M1" s="2" t="s">
        <v>7</v>
      </c>
    </row>
    <row r="2" spans="1:18" ht="15" x14ac:dyDescent="0.2">
      <c r="A2" s="3" t="s">
        <v>8</v>
      </c>
      <c r="B2" s="4" t="s">
        <v>12</v>
      </c>
      <c r="C2" s="4" t="s">
        <v>4</v>
      </c>
      <c r="D2" s="4" t="s">
        <v>13</v>
      </c>
      <c r="E2" s="29">
        <v>0.91</v>
      </c>
      <c r="F2" s="29"/>
      <c r="G2" s="29">
        <v>0.7</v>
      </c>
      <c r="H2" s="30">
        <v>0.73</v>
      </c>
      <c r="I2" s="31"/>
      <c r="J2" s="29">
        <v>0.89</v>
      </c>
      <c r="K2" s="29">
        <v>0.61</v>
      </c>
      <c r="L2" s="29">
        <v>0.76</v>
      </c>
      <c r="M2" s="29">
        <v>0.74</v>
      </c>
      <c r="O2">
        <f>(E2-J2)*100</f>
        <v>2.0000000000000018</v>
      </c>
      <c r="Q2">
        <f t="shared" ref="P2:R2" si="0">(G2-L2)*100</f>
        <v>-6.0000000000000053</v>
      </c>
      <c r="R2">
        <f t="shared" si="0"/>
        <v>-1.0000000000000009</v>
      </c>
    </row>
    <row r="3" spans="1:18" ht="15" x14ac:dyDescent="0.2">
      <c r="A3" s="7" t="s">
        <v>9</v>
      </c>
      <c r="B3" s="1" t="s">
        <v>12</v>
      </c>
      <c r="C3" s="1" t="s">
        <v>4</v>
      </c>
      <c r="D3" s="1" t="s">
        <v>13</v>
      </c>
      <c r="E3" s="31"/>
      <c r="F3" s="31"/>
      <c r="G3" s="31"/>
      <c r="H3" s="32"/>
      <c r="I3" s="31"/>
      <c r="J3" s="31"/>
      <c r="K3" s="31"/>
      <c r="L3" s="31"/>
      <c r="M3" s="31"/>
    </row>
    <row r="4" spans="1:18" ht="15" x14ac:dyDescent="0.2">
      <c r="A4" s="7" t="s">
        <v>10</v>
      </c>
      <c r="B4" s="1" t="s">
        <v>12</v>
      </c>
      <c r="C4" s="1" t="s">
        <v>4</v>
      </c>
      <c r="D4" s="1" t="s">
        <v>13</v>
      </c>
      <c r="E4" s="31"/>
      <c r="F4" s="31"/>
      <c r="G4" s="31"/>
      <c r="H4" s="32"/>
      <c r="I4" s="31"/>
      <c r="J4" s="31"/>
      <c r="K4" s="31"/>
      <c r="L4" s="31"/>
      <c r="M4" s="31"/>
    </row>
    <row r="5" spans="1:18" ht="15.75" thickBot="1" x14ac:dyDescent="0.25">
      <c r="A5" s="9" t="s">
        <v>11</v>
      </c>
      <c r="B5" s="10" t="s">
        <v>12</v>
      </c>
      <c r="C5" s="10" t="s">
        <v>4</v>
      </c>
      <c r="D5" s="10" t="s">
        <v>13</v>
      </c>
      <c r="E5" s="33"/>
      <c r="F5" s="33"/>
      <c r="G5" s="33"/>
      <c r="H5" s="34"/>
      <c r="I5" s="31"/>
      <c r="J5" s="33"/>
      <c r="K5" s="33"/>
      <c r="L5" s="33"/>
      <c r="M5" s="33"/>
    </row>
    <row r="6" spans="1:18" ht="15" x14ac:dyDescent="0.2">
      <c r="A6" s="13" t="s">
        <v>8</v>
      </c>
      <c r="B6" s="14" t="s">
        <v>12</v>
      </c>
      <c r="C6" s="14" t="s">
        <v>5</v>
      </c>
      <c r="D6" s="14" t="s">
        <v>13</v>
      </c>
      <c r="E6" s="35">
        <v>0.65</v>
      </c>
      <c r="F6" s="35">
        <v>0.93</v>
      </c>
      <c r="G6" s="35">
        <v>0.68</v>
      </c>
      <c r="H6" s="36">
        <v>0.73</v>
      </c>
      <c r="I6" s="31"/>
      <c r="J6" s="29">
        <v>0.64</v>
      </c>
      <c r="K6" s="29">
        <v>0.94</v>
      </c>
      <c r="L6" s="29">
        <v>0.68</v>
      </c>
      <c r="M6" s="29">
        <v>0.7</v>
      </c>
      <c r="O6">
        <f>(E6-J6)*100</f>
        <v>1.0000000000000009</v>
      </c>
      <c r="P6">
        <f t="shared" ref="P6:R6" si="1">(F6-K6)*100</f>
        <v>-0.99999999999998979</v>
      </c>
      <c r="Q6">
        <f t="shared" si="1"/>
        <v>0</v>
      </c>
      <c r="R6">
        <f t="shared" si="1"/>
        <v>3.0000000000000027</v>
      </c>
    </row>
    <row r="7" spans="1:18" ht="15" x14ac:dyDescent="0.2">
      <c r="A7" s="17" t="s">
        <v>9</v>
      </c>
      <c r="B7" s="18" t="s">
        <v>12</v>
      </c>
      <c r="C7" s="18" t="s">
        <v>5</v>
      </c>
      <c r="D7" s="18" t="s">
        <v>13</v>
      </c>
      <c r="E7" s="37"/>
      <c r="F7" s="37"/>
      <c r="G7" s="37"/>
      <c r="H7" s="38"/>
      <c r="I7" s="31"/>
      <c r="J7" s="31"/>
      <c r="K7" s="31"/>
      <c r="L7" s="31"/>
      <c r="M7" s="31"/>
    </row>
    <row r="8" spans="1:18" ht="15" x14ac:dyDescent="0.2">
      <c r="A8" s="17" t="s">
        <v>10</v>
      </c>
      <c r="B8" s="18" t="s">
        <v>12</v>
      </c>
      <c r="C8" s="18" t="s">
        <v>5</v>
      </c>
      <c r="D8" s="18" t="s">
        <v>13</v>
      </c>
      <c r="E8" s="37"/>
      <c r="F8" s="37"/>
      <c r="G8" s="37"/>
      <c r="H8" s="38"/>
      <c r="I8" s="31"/>
      <c r="J8" s="31"/>
      <c r="K8" s="31"/>
      <c r="L8" s="31"/>
      <c r="M8" s="31"/>
    </row>
    <row r="9" spans="1:18" ht="15.75" thickBot="1" x14ac:dyDescent="0.25">
      <c r="A9" s="21" t="s">
        <v>11</v>
      </c>
      <c r="B9" s="22" t="s">
        <v>12</v>
      </c>
      <c r="C9" s="22" t="s">
        <v>5</v>
      </c>
      <c r="D9" s="22" t="s">
        <v>13</v>
      </c>
      <c r="E9" s="39"/>
      <c r="F9" s="39"/>
      <c r="G9" s="39"/>
      <c r="H9" s="40"/>
      <c r="I9" s="31"/>
      <c r="J9" s="33"/>
      <c r="K9" s="33"/>
      <c r="L9" s="33"/>
      <c r="M9" s="33"/>
    </row>
    <row r="10" spans="1:18" ht="15" x14ac:dyDescent="0.2">
      <c r="A10" s="3" t="s">
        <v>8</v>
      </c>
      <c r="B10" s="4" t="s">
        <v>12</v>
      </c>
      <c r="C10" s="4" t="s">
        <v>6</v>
      </c>
      <c r="D10" s="4" t="s">
        <v>13</v>
      </c>
      <c r="E10" s="29">
        <v>0.6</v>
      </c>
      <c r="F10" s="29">
        <v>0.56999999999999995</v>
      </c>
      <c r="G10" s="29">
        <v>0.96</v>
      </c>
      <c r="H10" s="30">
        <v>0.64</v>
      </c>
      <c r="I10" s="31"/>
      <c r="J10" s="29">
        <v>0.61</v>
      </c>
      <c r="K10" s="29">
        <v>0.57999999999999996</v>
      </c>
      <c r="L10" s="29">
        <v>0.96</v>
      </c>
      <c r="M10" s="29">
        <v>0.61</v>
      </c>
      <c r="O10">
        <f>(E10-J10)*100</f>
        <v>-1.0000000000000009</v>
      </c>
      <c r="P10">
        <f t="shared" ref="P10:R10" si="2">(F10-K10)*100</f>
        <v>-1.0000000000000009</v>
      </c>
      <c r="Q10">
        <f t="shared" si="2"/>
        <v>0</v>
      </c>
      <c r="R10">
        <f t="shared" si="2"/>
        <v>3.0000000000000027</v>
      </c>
    </row>
    <row r="11" spans="1:18" ht="15" x14ac:dyDescent="0.2">
      <c r="A11" s="7" t="s">
        <v>9</v>
      </c>
      <c r="B11" s="1" t="s">
        <v>12</v>
      </c>
      <c r="C11" s="1" t="s">
        <v>6</v>
      </c>
      <c r="D11" s="1" t="s">
        <v>13</v>
      </c>
      <c r="E11" s="31"/>
      <c r="F11" s="31"/>
      <c r="G11" s="31"/>
      <c r="H11" s="32"/>
      <c r="I11" s="31"/>
      <c r="J11" s="31"/>
      <c r="K11" s="31"/>
      <c r="L11" s="31"/>
      <c r="M11" s="31"/>
    </row>
    <row r="12" spans="1:18" ht="15" x14ac:dyDescent="0.2">
      <c r="A12" s="7" t="s">
        <v>10</v>
      </c>
      <c r="B12" s="1" t="s">
        <v>12</v>
      </c>
      <c r="C12" s="1" t="s">
        <v>6</v>
      </c>
      <c r="D12" s="1" t="s">
        <v>13</v>
      </c>
      <c r="E12" s="31"/>
      <c r="F12" s="31"/>
      <c r="G12" s="31"/>
      <c r="H12" s="32"/>
      <c r="I12" s="31"/>
      <c r="J12" s="31"/>
      <c r="K12" s="31"/>
      <c r="L12" s="31"/>
      <c r="M12" s="31"/>
    </row>
    <row r="13" spans="1:18" ht="15.75" thickBot="1" x14ac:dyDescent="0.25">
      <c r="A13" s="9" t="s">
        <v>11</v>
      </c>
      <c r="B13" s="10" t="s">
        <v>12</v>
      </c>
      <c r="C13" s="10" t="s">
        <v>6</v>
      </c>
      <c r="D13" s="10" t="s">
        <v>13</v>
      </c>
      <c r="E13" s="33"/>
      <c r="F13" s="33"/>
      <c r="G13" s="33"/>
      <c r="H13" s="34"/>
      <c r="I13" s="31"/>
      <c r="J13" s="33"/>
      <c r="K13" s="33"/>
      <c r="L13" s="33"/>
      <c r="M13" s="33"/>
    </row>
    <row r="14" spans="1:18" ht="15" x14ac:dyDescent="0.2">
      <c r="A14" s="13" t="s">
        <v>8</v>
      </c>
      <c r="B14" s="14" t="s">
        <v>12</v>
      </c>
      <c r="C14" s="14" t="s">
        <v>7</v>
      </c>
      <c r="D14" s="14" t="s">
        <v>13</v>
      </c>
      <c r="E14" s="35">
        <v>0.59</v>
      </c>
      <c r="F14" s="35">
        <v>0.51</v>
      </c>
      <c r="G14" s="35">
        <v>0.67</v>
      </c>
      <c r="H14" s="36">
        <v>0.95</v>
      </c>
      <c r="I14" s="31"/>
      <c r="J14" s="29">
        <v>0.61</v>
      </c>
      <c r="K14" s="29">
        <v>0.52</v>
      </c>
      <c r="L14" s="29">
        <v>0.71</v>
      </c>
      <c r="M14" s="29">
        <v>0.95</v>
      </c>
      <c r="O14">
        <f>(E14-J14)*100</f>
        <v>-2.0000000000000018</v>
      </c>
      <c r="P14">
        <f t="shared" ref="P14:R14" si="3">(F14-K14)*100</f>
        <v>-1.0000000000000009</v>
      </c>
      <c r="Q14">
        <f t="shared" si="3"/>
        <v>-3.9999999999999925</v>
      </c>
      <c r="R14">
        <f t="shared" si="3"/>
        <v>0</v>
      </c>
    </row>
    <row r="15" spans="1:18" ht="15" x14ac:dyDescent="0.2">
      <c r="A15" s="17" t="s">
        <v>9</v>
      </c>
      <c r="B15" s="18" t="s">
        <v>12</v>
      </c>
      <c r="C15" s="18" t="s">
        <v>7</v>
      </c>
      <c r="D15" s="18" t="s">
        <v>13</v>
      </c>
      <c r="E15" s="37"/>
      <c r="F15" s="37"/>
      <c r="G15" s="37"/>
      <c r="H15" s="38"/>
      <c r="I15" s="31"/>
      <c r="J15" s="31"/>
      <c r="K15" s="31"/>
      <c r="L15" s="31"/>
      <c r="M15" s="31"/>
    </row>
    <row r="16" spans="1:18" ht="15" x14ac:dyDescent="0.2">
      <c r="A16" s="17" t="s">
        <v>10</v>
      </c>
      <c r="B16" s="18" t="s">
        <v>12</v>
      </c>
      <c r="C16" s="18" t="s">
        <v>7</v>
      </c>
      <c r="D16" s="18" t="s">
        <v>13</v>
      </c>
      <c r="E16" s="37"/>
      <c r="F16" s="37"/>
      <c r="G16" s="37"/>
      <c r="H16" s="38"/>
      <c r="I16" s="31"/>
      <c r="J16" s="31"/>
      <c r="K16" s="31"/>
      <c r="L16" s="31"/>
      <c r="M16" s="31"/>
    </row>
    <row r="17" spans="1:18" ht="15.75" thickBot="1" x14ac:dyDescent="0.25">
      <c r="A17" s="21" t="s">
        <v>11</v>
      </c>
      <c r="B17" s="22" t="s">
        <v>12</v>
      </c>
      <c r="C17" s="22" t="s">
        <v>7</v>
      </c>
      <c r="D17" s="22" t="s">
        <v>13</v>
      </c>
      <c r="E17" s="39"/>
      <c r="F17" s="39"/>
      <c r="G17" s="39"/>
      <c r="H17" s="40"/>
      <c r="I17" s="31"/>
      <c r="J17" s="33"/>
      <c r="K17" s="33"/>
      <c r="L17" s="33"/>
      <c r="M17" s="33"/>
    </row>
    <row r="20" spans="1:18" ht="26.25" customHeight="1" x14ac:dyDescent="0.25">
      <c r="E20" s="43" t="s">
        <v>17</v>
      </c>
      <c r="F20" s="43"/>
      <c r="G20" s="43"/>
      <c r="H20" s="43"/>
      <c r="J20" s="43" t="s">
        <v>18</v>
      </c>
      <c r="K20" s="43"/>
      <c r="L20" s="43"/>
      <c r="M20" s="43"/>
      <c r="O20" s="42" t="s">
        <v>16</v>
      </c>
      <c r="P20" s="42"/>
      <c r="Q20" s="42"/>
      <c r="R20" s="42"/>
    </row>
  </sheetData>
  <mergeCells count="3">
    <mergeCell ref="E20:H20"/>
    <mergeCell ref="J20:M20"/>
    <mergeCell ref="O20:R20"/>
  </mergeCells>
  <conditionalFormatting sqref="E2:H2 E6:H6 E10:H10 E14:H14">
    <cfRule type="colorScale" priority="5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J2:M2 J6:M6 J10:M10 J14:M14">
    <cfRule type="colorScale" priority="4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O2:R14">
    <cfRule type="cellIs" dxfId="2" priority="1" operator="lessThan">
      <formula>-1</formula>
    </cfRule>
    <cfRule type="cellIs" dxfId="1" priority="2" operator="greaterThan">
      <formula>1</formula>
    </cfRule>
    <cfRule type="cellIs" dxfId="0" priority="3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2025-06-03T14:26:02Z</dcterms:created>
  <dcterms:modified xsi:type="dcterms:W3CDTF">2025-06-08T10:07:09Z</dcterms:modified>
</cp:coreProperties>
</file>