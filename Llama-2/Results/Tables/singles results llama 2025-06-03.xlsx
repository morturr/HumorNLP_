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"/>
    </mc:Choice>
  </mc:AlternateContent>
  <xr:revisionPtr revIDLastSave="0" documentId="13_ncr:1_{B2455E35-0328-4831-98B0-92498A34EAB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גיליון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2" l="1"/>
  <c r="Q14" i="2"/>
  <c r="P14" i="2"/>
  <c r="O14" i="2"/>
  <c r="R10" i="2"/>
  <c r="Q10" i="2"/>
  <c r="P10" i="2"/>
  <c r="O10" i="2"/>
  <c r="R6" i="2"/>
  <c r="Q6" i="2"/>
  <c r="P6" i="2"/>
  <c r="O6" i="2"/>
  <c r="R2" i="2"/>
  <c r="Q2" i="2"/>
  <c r="P2" i="2"/>
  <c r="O2" i="2"/>
  <c r="O2" i="1"/>
  <c r="P2" i="1"/>
  <c r="Q2" i="1"/>
  <c r="R2" i="1"/>
  <c r="O6" i="1"/>
  <c r="P6" i="1"/>
  <c r="Q6" i="1"/>
  <c r="R6" i="1"/>
  <c r="O10" i="1"/>
  <c r="P10" i="1"/>
  <c r="Q10" i="1"/>
  <c r="R10" i="1"/>
  <c r="O14" i="1"/>
  <c r="P14" i="1"/>
  <c r="Q14" i="1"/>
  <c r="R14" i="1"/>
</calcChain>
</file>

<file path=xl/sharedStrings.xml><?xml version="1.0" encoding="utf-8"?>
<sst xmlns="http://schemas.openxmlformats.org/spreadsheetml/2006/main" count="158" uniqueCount="19">
  <si>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</si>
  <si>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</si>
  <si>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</si>
  <si>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</si>
  <si>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</si>
  <si>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</si>
  <si>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</si>
  <si>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</si>
  <si>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</si>
  <si>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</si>
  <si>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</si>
  <si>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</si>
  <si>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llama-2-7b</t>
  </si>
  <si>
    <t>best_median</t>
  </si>
  <si>
    <t>New Results</t>
  </si>
  <si>
    <t>Old Results</t>
  </si>
  <si>
    <t>Differences between results</t>
  </si>
  <si>
    <t>New Dataset (5K samples) with New Top Params</t>
  </si>
  <si>
    <t>New Dataset (5K samples) with Old Top 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</si>
</sst>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2" borderId="11" xfId="0" applyFill="1" applyBorder="1"/>
    <xf numFmtId="0" fontId="0" fillId="2" borderId="12" xfId="0" applyFill="1" applyBorder="1"/>
    <xf numFmtId="0" fontId="2" fillId="2" borderId="6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O2" sqref="O2:R14"/>
    </sheetView>
  </sheetViews>
  <sheetFormatPr defaultRowHeight="14.25" x14ac:dyDescent="0.2"/>
  <cols>
    <col min="2" max="2" width="9.75" bestFit="1" customWidth="1"/>
    <col min="3" max="3" width="10.25" bestFit="1" customWidth="1"/>
    <col min="4" max="4" width="12.75" bestFit="1" customWidth="1"/>
    <col min="7" max="7" width="9.5" bestFit="1" customWidth="1"/>
    <col min="8" max="8" width="10.25" bestFit="1" customWidth="1"/>
  </cols>
  <sheetData>
    <row r="1" spans="1:18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8" ht="15" x14ac:dyDescent="0.2">
      <c r="A2" s="3" t="s">
        <v>8</v>
      </c>
      <c r="B2" s="4" t="s">
        <v>12</v>
      </c>
      <c r="C2" s="4" t="s">
        <v>4</v>
      </c>
      <c r="D2" s="4" t="s">
        <v>13</v>
      </c>
      <c r="E2" s="5">
        <v>0.85980000000000001</v>
      </c>
      <c r="F2" s="5">
        <v>0.63600000000000001</v>
      </c>
      <c r="G2" s="5">
        <v>0.62549999999999994</v>
      </c>
      <c r="H2" s="6">
        <v>0.58860000000000001</v>
      </c>
      <c r="J2" s="5">
        <v>0.84340000000000004</v>
      </c>
      <c r="K2" s="5">
        <v>0.63090000000000002</v>
      </c>
      <c r="L2" s="5">
        <v>0.65159999999999996</v>
      </c>
      <c r="M2" s="5">
        <v>0.62390000000000001</v>
      </c>
      <c r="O2">
        <f>(E2-J2)*100</f>
        <v>1.639999999999997</v>
      </c>
      <c r="P2">
        <f t="shared" ref="P2:R2" si="0">(F2-K2)*100</f>
        <v>0.50999999999999934</v>
      </c>
      <c r="Q2">
        <f t="shared" si="0"/>
        <v>-2.6100000000000012</v>
      </c>
      <c r="R2">
        <f t="shared" si="0"/>
        <v>-3.53</v>
      </c>
    </row>
    <row r="3" spans="1:18" ht="15" x14ac:dyDescent="0.2">
      <c r="A3" s="7" t="s">
        <v>9</v>
      </c>
      <c r="B3" s="1" t="s">
        <v>12</v>
      </c>
      <c r="C3" s="1" t="s">
        <v>4</v>
      </c>
      <c r="D3" s="1" t="s">
        <v>13</v>
      </c>
      <c r="E3">
        <v>0.8629</v>
      </c>
      <c r="F3">
        <v>0.7218</v>
      </c>
      <c r="G3">
        <v>0.69699999999999995</v>
      </c>
      <c r="H3" s="8">
        <v>0.68169999999999997</v>
      </c>
      <c r="J3">
        <v>0.84030000000000005</v>
      </c>
      <c r="K3">
        <v>0.69369999999999998</v>
      </c>
      <c r="L3">
        <v>0.69040000000000001</v>
      </c>
      <c r="M3">
        <v>0.67669999999999997</v>
      </c>
    </row>
    <row r="4" spans="1:18" ht="15" x14ac:dyDescent="0.2">
      <c r="A4" s="7" t="s">
        <v>10</v>
      </c>
      <c r="B4" s="1" t="s">
        <v>12</v>
      </c>
      <c r="C4" s="1" t="s">
        <v>4</v>
      </c>
      <c r="D4" s="1" t="s">
        <v>13</v>
      </c>
      <c r="E4">
        <v>0.88349999999999995</v>
      </c>
      <c r="F4">
        <v>0.93400000000000005</v>
      </c>
      <c r="G4">
        <v>0.86060000000000003</v>
      </c>
      <c r="H4" s="8">
        <v>0.87739999999999996</v>
      </c>
      <c r="J4">
        <v>0.82550000000000001</v>
      </c>
      <c r="K4">
        <v>0.80979999999999996</v>
      </c>
      <c r="L4">
        <v>0.77459999999999996</v>
      </c>
      <c r="M4">
        <v>0.79930000000000001</v>
      </c>
    </row>
    <row r="5" spans="1:18" ht="15.75" thickBot="1" x14ac:dyDescent="0.25">
      <c r="A5" s="9" t="s">
        <v>11</v>
      </c>
      <c r="B5" s="10" t="s">
        <v>12</v>
      </c>
      <c r="C5" s="10" t="s">
        <v>4</v>
      </c>
      <c r="D5" s="10" t="s">
        <v>13</v>
      </c>
      <c r="E5" s="11">
        <v>0.84340000000000004</v>
      </c>
      <c r="F5" s="11">
        <v>0.58850000000000002</v>
      </c>
      <c r="G5" s="11">
        <v>0.58599999999999997</v>
      </c>
      <c r="H5" s="12">
        <v>0.55759999999999998</v>
      </c>
      <c r="J5" s="11">
        <v>0.85670000000000002</v>
      </c>
      <c r="K5" s="11">
        <v>0.60819999999999996</v>
      </c>
      <c r="L5" s="11">
        <v>0.62450000000000006</v>
      </c>
      <c r="M5" s="11">
        <v>0.59040000000000004</v>
      </c>
    </row>
    <row r="6" spans="1:18" ht="15" x14ac:dyDescent="0.25">
      <c r="A6" s="13" t="s">
        <v>8</v>
      </c>
      <c r="B6" s="14" t="s">
        <v>12</v>
      </c>
      <c r="C6" s="14" t="s">
        <v>5</v>
      </c>
      <c r="D6" s="14" t="s">
        <v>13</v>
      </c>
      <c r="E6" s="15">
        <v>0.64729999999999999</v>
      </c>
      <c r="F6" s="15">
        <v>0.90959999999999996</v>
      </c>
      <c r="G6" s="15">
        <v>0.58609999999999995</v>
      </c>
      <c r="H6" s="25">
        <v>0.72550000000000003</v>
      </c>
      <c r="J6" s="15">
        <v>0.66049999999999998</v>
      </c>
      <c r="K6" s="15">
        <v>0.89159999999999995</v>
      </c>
      <c r="L6" s="15">
        <v>0.64080000000000004</v>
      </c>
      <c r="M6" s="15">
        <v>0.68720000000000003</v>
      </c>
      <c r="O6">
        <f>(E6-J6)*100</f>
        <v>-1.319999999999999</v>
      </c>
      <c r="P6">
        <f t="shared" ref="P6:R6" si="1">(F6-K6)*100</f>
        <v>1.8000000000000016</v>
      </c>
      <c r="Q6">
        <f t="shared" si="1"/>
        <v>-5.4700000000000077</v>
      </c>
      <c r="R6">
        <f t="shared" si="1"/>
        <v>3.83</v>
      </c>
    </row>
    <row r="7" spans="1:18" ht="15" x14ac:dyDescent="0.2">
      <c r="A7" s="17" t="s">
        <v>9</v>
      </c>
      <c r="B7" s="18" t="s">
        <v>12</v>
      </c>
      <c r="C7" s="18" t="s">
        <v>5</v>
      </c>
      <c r="D7" s="18" t="s">
        <v>13</v>
      </c>
      <c r="E7" s="19">
        <v>0.71340000000000003</v>
      </c>
      <c r="F7" s="19">
        <v>0.91090000000000004</v>
      </c>
      <c r="G7" s="19">
        <v>0.6754</v>
      </c>
      <c r="H7" s="20">
        <v>0.71489999999999998</v>
      </c>
      <c r="J7" s="19">
        <v>0.71</v>
      </c>
      <c r="K7" s="19">
        <v>0.88929999999999998</v>
      </c>
      <c r="L7" s="19">
        <v>0.69340000000000002</v>
      </c>
      <c r="M7" s="19">
        <v>0.66310000000000002</v>
      </c>
    </row>
    <row r="8" spans="1:18" ht="15" x14ac:dyDescent="0.2">
      <c r="A8" s="17" t="s">
        <v>10</v>
      </c>
      <c r="B8" s="18" t="s">
        <v>12</v>
      </c>
      <c r="C8" s="18" t="s">
        <v>5</v>
      </c>
      <c r="D8" s="18" t="s">
        <v>13</v>
      </c>
      <c r="E8" s="19">
        <v>0.87819999999999998</v>
      </c>
      <c r="F8" s="19">
        <v>0.92520000000000002</v>
      </c>
      <c r="G8" s="19">
        <v>0.86329999999999996</v>
      </c>
      <c r="H8" s="20">
        <v>0.69089999999999996</v>
      </c>
      <c r="J8" s="19">
        <v>0.83289999999999997</v>
      </c>
      <c r="K8" s="19">
        <v>0.87119999999999997</v>
      </c>
      <c r="L8" s="19">
        <v>0.81179999999999997</v>
      </c>
      <c r="M8" s="19">
        <v>0.61550000000000005</v>
      </c>
    </row>
    <row r="9" spans="1:18" ht="15.75" thickBot="1" x14ac:dyDescent="0.25">
      <c r="A9" s="21" t="s">
        <v>11</v>
      </c>
      <c r="B9" s="22" t="s">
        <v>12</v>
      </c>
      <c r="C9" s="22" t="s">
        <v>5</v>
      </c>
      <c r="D9" s="22" t="s">
        <v>13</v>
      </c>
      <c r="E9" s="23">
        <v>0.60119999999999996</v>
      </c>
      <c r="F9" s="23">
        <v>0.89780000000000004</v>
      </c>
      <c r="G9" s="23">
        <v>0.55500000000000005</v>
      </c>
      <c r="H9" s="24">
        <v>0.74519999999999997</v>
      </c>
      <c r="J9" s="23">
        <v>0.62090000000000001</v>
      </c>
      <c r="K9" s="23">
        <v>0.90839999999999999</v>
      </c>
      <c r="L9" s="23">
        <v>0.60729999999999995</v>
      </c>
      <c r="M9" s="23">
        <v>0.72150000000000003</v>
      </c>
    </row>
    <row r="10" spans="1:18" ht="15" x14ac:dyDescent="0.2">
      <c r="A10" s="3" t="s">
        <v>8</v>
      </c>
      <c r="B10" s="4" t="s">
        <v>12</v>
      </c>
      <c r="C10" s="4" t="s">
        <v>6</v>
      </c>
      <c r="D10" s="4" t="s">
        <v>13</v>
      </c>
      <c r="E10" s="5">
        <v>0.57489999999999997</v>
      </c>
      <c r="F10" s="5">
        <v>0.59960000000000002</v>
      </c>
      <c r="G10" s="5">
        <v>0.83809999999999996</v>
      </c>
      <c r="H10" s="6">
        <v>0.65769999999999995</v>
      </c>
      <c r="J10" s="5">
        <v>0.62370000000000003</v>
      </c>
      <c r="K10" s="5">
        <v>0.58750000000000002</v>
      </c>
      <c r="L10" s="5">
        <v>0.94420000000000004</v>
      </c>
      <c r="M10" s="5">
        <v>0.62590000000000001</v>
      </c>
      <c r="O10">
        <f>(E10-J10)*100</f>
        <v>-4.8800000000000061</v>
      </c>
      <c r="P10">
        <f t="shared" ref="P10:R10" si="2">(F10-K10)*100</f>
        <v>1.21</v>
      </c>
      <c r="Q10">
        <f t="shared" si="2"/>
        <v>-10.610000000000008</v>
      </c>
      <c r="R10">
        <f t="shared" si="2"/>
        <v>3.1799999999999939</v>
      </c>
    </row>
    <row r="11" spans="1:18" ht="15" x14ac:dyDescent="0.2">
      <c r="A11" s="7" t="s">
        <v>9</v>
      </c>
      <c r="B11" s="1" t="s">
        <v>12</v>
      </c>
      <c r="C11" s="1" t="s">
        <v>6</v>
      </c>
      <c r="D11" s="1" t="s">
        <v>13</v>
      </c>
      <c r="E11">
        <v>0.46960000000000002</v>
      </c>
      <c r="F11">
        <v>0.62160000000000004</v>
      </c>
      <c r="G11">
        <v>0.83950000000000002</v>
      </c>
      <c r="H11" s="8">
        <v>0.64600000000000002</v>
      </c>
      <c r="J11">
        <v>0.52059999999999995</v>
      </c>
      <c r="K11">
        <v>0.59570000000000001</v>
      </c>
      <c r="L11">
        <v>0.94440000000000002</v>
      </c>
      <c r="M11">
        <v>0.53410000000000002</v>
      </c>
    </row>
    <row r="12" spans="1:18" ht="15" x14ac:dyDescent="0.2">
      <c r="A12" s="7" t="s">
        <v>10</v>
      </c>
      <c r="B12" s="1" t="s">
        <v>12</v>
      </c>
      <c r="C12" s="1" t="s">
        <v>6</v>
      </c>
      <c r="D12" s="1" t="s">
        <v>13</v>
      </c>
      <c r="E12">
        <v>0.37540000000000001</v>
      </c>
      <c r="F12">
        <v>0.65990000000000004</v>
      </c>
      <c r="G12">
        <v>0.84740000000000004</v>
      </c>
      <c r="H12" s="8">
        <v>0.63039999999999996</v>
      </c>
      <c r="J12">
        <v>0.41970000000000002</v>
      </c>
      <c r="K12">
        <v>0.61319999999999997</v>
      </c>
      <c r="L12">
        <v>0.95179999999999998</v>
      </c>
      <c r="M12">
        <v>0.4602</v>
      </c>
    </row>
    <row r="13" spans="1:18" ht="15.75" thickBot="1" x14ac:dyDescent="0.25">
      <c r="A13" s="9" t="s">
        <v>11</v>
      </c>
      <c r="B13" s="10" t="s">
        <v>12</v>
      </c>
      <c r="C13" s="10" t="s">
        <v>6</v>
      </c>
      <c r="D13" s="10" t="s">
        <v>13</v>
      </c>
      <c r="E13" s="11">
        <v>0.6321</v>
      </c>
      <c r="F13" s="11">
        <v>0.58840000000000003</v>
      </c>
      <c r="G13" s="11">
        <v>0.83250000000000002</v>
      </c>
      <c r="H13" s="12">
        <v>0.66359999999999997</v>
      </c>
      <c r="J13" s="11">
        <v>0.71599999999999997</v>
      </c>
      <c r="K13" s="11">
        <v>0.58340000000000003</v>
      </c>
      <c r="L13" s="11">
        <v>0.93730000000000002</v>
      </c>
      <c r="M13" s="11">
        <v>0.69420000000000004</v>
      </c>
    </row>
    <row r="14" spans="1:18" ht="15" x14ac:dyDescent="0.2">
      <c r="A14" s="13" t="s">
        <v>8</v>
      </c>
      <c r="B14" s="14" t="s">
        <v>12</v>
      </c>
      <c r="C14" s="14" t="s">
        <v>7</v>
      </c>
      <c r="D14" s="14" t="s">
        <v>13</v>
      </c>
      <c r="E14" s="15">
        <v>0.57469999999999999</v>
      </c>
      <c r="F14" s="15">
        <v>0.63280000000000003</v>
      </c>
      <c r="G14" s="15">
        <v>0.53559999999999997</v>
      </c>
      <c r="H14" s="16">
        <v>0.751</v>
      </c>
      <c r="J14" s="15">
        <v>0.58919999999999995</v>
      </c>
      <c r="K14" s="15">
        <v>0.61619999999999997</v>
      </c>
      <c r="L14" s="15">
        <v>0.53490000000000004</v>
      </c>
      <c r="M14" s="15">
        <v>0.83140000000000003</v>
      </c>
      <c r="O14">
        <f>(E14-J14)*100</f>
        <v>-1.4499999999999957</v>
      </c>
      <c r="P14">
        <f t="shared" ref="P14:R14" si="3">(F14-K14)*100</f>
        <v>1.6600000000000059</v>
      </c>
      <c r="Q14">
        <f t="shared" si="3"/>
        <v>6.9999999999992291E-2</v>
      </c>
      <c r="R14">
        <f t="shared" si="3"/>
        <v>-8.0400000000000027</v>
      </c>
    </row>
    <row r="15" spans="1:18" ht="15" x14ac:dyDescent="0.2">
      <c r="A15" s="17" t="s">
        <v>9</v>
      </c>
      <c r="B15" s="18" t="s">
        <v>12</v>
      </c>
      <c r="C15" s="18" t="s">
        <v>7</v>
      </c>
      <c r="D15" s="18" t="s">
        <v>13</v>
      </c>
      <c r="E15" s="19">
        <v>0.48249999999999998</v>
      </c>
      <c r="F15" s="19">
        <v>0.68540000000000001</v>
      </c>
      <c r="G15" s="19">
        <v>0.47670000000000001</v>
      </c>
      <c r="H15" s="20">
        <v>0.75249999999999995</v>
      </c>
      <c r="J15" s="19">
        <v>0.41</v>
      </c>
      <c r="K15" s="19">
        <v>0.68659999999999999</v>
      </c>
      <c r="L15" s="19">
        <v>0.29699999999999999</v>
      </c>
      <c r="M15" s="19">
        <v>0.83089999999999997</v>
      </c>
    </row>
    <row r="16" spans="1:18" ht="15" x14ac:dyDescent="0.2">
      <c r="A16" s="17" t="s">
        <v>10</v>
      </c>
      <c r="B16" s="18" t="s">
        <v>12</v>
      </c>
      <c r="C16" s="18" t="s">
        <v>7</v>
      </c>
      <c r="D16" s="18" t="s">
        <v>13</v>
      </c>
      <c r="E16" s="19">
        <v>0.39650000000000002</v>
      </c>
      <c r="F16" s="19">
        <v>0.80100000000000005</v>
      </c>
      <c r="G16" s="19">
        <v>0.4229</v>
      </c>
      <c r="H16" s="20">
        <v>0.75860000000000005</v>
      </c>
      <c r="J16" s="19">
        <v>0.30180000000000001</v>
      </c>
      <c r="K16" s="19">
        <v>0.84079999999999999</v>
      </c>
      <c r="L16" s="19">
        <v>0.2039</v>
      </c>
      <c r="M16" s="19">
        <v>0.82869999999999999</v>
      </c>
    </row>
    <row r="17" spans="1:18" ht="15.75" thickBot="1" x14ac:dyDescent="0.25">
      <c r="A17" s="21" t="s">
        <v>11</v>
      </c>
      <c r="B17" s="22" t="s">
        <v>12</v>
      </c>
      <c r="C17" s="22" t="s">
        <v>7</v>
      </c>
      <c r="D17" s="22" t="s">
        <v>13</v>
      </c>
      <c r="E17" s="23">
        <v>0.61699999999999999</v>
      </c>
      <c r="F17" s="23">
        <v>0.59919999999999995</v>
      </c>
      <c r="G17" s="23">
        <v>0.54700000000000004</v>
      </c>
      <c r="H17" s="24">
        <v>0.74650000000000005</v>
      </c>
      <c r="J17" s="23">
        <v>0.70109999999999995</v>
      </c>
      <c r="K17" s="23">
        <v>0.58150000000000002</v>
      </c>
      <c r="L17" s="23">
        <v>0.60829999999999995</v>
      </c>
      <c r="M17" s="23">
        <v>0.83350000000000002</v>
      </c>
    </row>
    <row r="19" spans="1:18" ht="15" x14ac:dyDescent="0.25">
      <c r="E19" s="26" t="s">
        <v>14</v>
      </c>
      <c r="F19" s="26"/>
      <c r="G19" s="26"/>
      <c r="H19" s="26"/>
      <c r="I19" s="27"/>
      <c r="J19" s="26" t="s">
        <v>15</v>
      </c>
      <c r="K19" s="26"/>
      <c r="L19" s="26"/>
      <c r="M19" s="26"/>
      <c r="N19" s="27"/>
      <c r="O19" s="26" t="s">
        <v>16</v>
      </c>
      <c r="P19" s="26"/>
      <c r="Q19" s="26"/>
      <c r="R19" s="26"/>
    </row>
  </sheetData>
  <mergeCells count="3">
    <mergeCell ref="E19:H19"/>
    <mergeCell ref="J19:M19"/>
    <mergeCell ref="O19:R19"/>
  </mergeCells>
  <conditionalFormatting sqref="E2:H2 E6:H6 E10:H10 E14:H14">
    <cfRule type="colorScale" priority="7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conditionalFormatting sqref="O2:R14">
    <cfRule type="cellIs" dxfId="3" priority="5" operator="greaterThan">
      <formula>1</formula>
    </cfRule>
    <cfRule type="cellIs" dxfId="4" priority="3" operator="greaterThan">
      <formula>1</formula>
    </cfRule>
    <cfRule type="cellIs" dxfId="5" priority="2" operator="lessThan">
      <formula>-1</formula>
    </cfRule>
  </conditionalFormatting>
  <conditionalFormatting sqref="J14:M14 J10:M10 J6:M6 J2:M2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7AD6-30EE-4F14-8987-473C4124E5A0}">
  <dimension ref="A1:R20"/>
  <sheetViews>
    <sheetView tabSelected="1" workbookViewId="0">
      <selection activeCell="E28" sqref="E28"/>
    </sheetView>
  </sheetViews>
  <sheetFormatPr defaultRowHeight="14.25" x14ac:dyDescent="0.2"/>
  <cols>
    <col min="4" max="4" width="0" hidden="1" customWidth="1"/>
  </cols>
  <sheetData>
    <row r="1" spans="1:18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8" ht="15" x14ac:dyDescent="0.2">
      <c r="A2" s="3" t="s">
        <v>8</v>
      </c>
      <c r="B2" s="4" t="s">
        <v>12</v>
      </c>
      <c r="C2" s="4" t="s">
        <v>4</v>
      </c>
      <c r="D2" s="4" t="s">
        <v>13</v>
      </c>
      <c r="E2" s="5">
        <v>0.87</v>
      </c>
      <c r="F2" s="5">
        <v>0.59</v>
      </c>
      <c r="G2" s="5">
        <v>0.68</v>
      </c>
      <c r="H2" s="6">
        <v>0.61</v>
      </c>
      <c r="J2" s="5">
        <v>0.88</v>
      </c>
      <c r="K2" s="5">
        <v>0.6</v>
      </c>
      <c r="L2" s="5">
        <v>0.66</v>
      </c>
      <c r="M2" s="5">
        <v>0.61</v>
      </c>
      <c r="O2">
        <f>(E2-J2)*100</f>
        <v>-1.0000000000000009</v>
      </c>
      <c r="P2">
        <f t="shared" ref="P2:R2" si="0">(F2-K2)*100</f>
        <v>-1.0000000000000009</v>
      </c>
      <c r="Q2">
        <f t="shared" si="0"/>
        <v>2.0000000000000018</v>
      </c>
      <c r="R2">
        <f t="shared" si="0"/>
        <v>0</v>
      </c>
    </row>
    <row r="3" spans="1:18" ht="15" x14ac:dyDescent="0.2">
      <c r="A3" s="7" t="s">
        <v>9</v>
      </c>
      <c r="B3" s="1" t="s">
        <v>12</v>
      </c>
      <c r="C3" s="1" t="s">
        <v>4</v>
      </c>
      <c r="D3" s="1" t="s">
        <v>13</v>
      </c>
      <c r="H3" s="8"/>
    </row>
    <row r="4" spans="1:18" ht="15" x14ac:dyDescent="0.2">
      <c r="A4" s="7" t="s">
        <v>10</v>
      </c>
      <c r="B4" s="1" t="s">
        <v>12</v>
      </c>
      <c r="C4" s="1" t="s">
        <v>4</v>
      </c>
      <c r="D4" s="1" t="s">
        <v>13</v>
      </c>
      <c r="H4" s="8"/>
    </row>
    <row r="5" spans="1:18" ht="15.75" thickBot="1" x14ac:dyDescent="0.25">
      <c r="A5" s="9" t="s">
        <v>11</v>
      </c>
      <c r="B5" s="10" t="s">
        <v>12</v>
      </c>
      <c r="C5" s="10" t="s">
        <v>4</v>
      </c>
      <c r="D5" s="10" t="s">
        <v>13</v>
      </c>
      <c r="E5" s="11"/>
      <c r="F5" s="11"/>
      <c r="G5" s="11"/>
      <c r="H5" s="12"/>
      <c r="J5" s="11"/>
      <c r="K5" s="11"/>
      <c r="L5" s="11"/>
      <c r="M5" s="11"/>
    </row>
    <row r="6" spans="1:18" ht="15" x14ac:dyDescent="0.25">
      <c r="A6" s="13" t="s">
        <v>8</v>
      </c>
      <c r="B6" s="14" t="s">
        <v>12</v>
      </c>
      <c r="C6" s="14" t="s">
        <v>5</v>
      </c>
      <c r="D6" s="14" t="s">
        <v>13</v>
      </c>
      <c r="E6" s="15">
        <v>0.57999999999999996</v>
      </c>
      <c r="F6" s="15">
        <v>0.93</v>
      </c>
      <c r="G6" s="15">
        <v>0.63</v>
      </c>
      <c r="H6" s="25">
        <v>0.7</v>
      </c>
      <c r="J6" s="15">
        <v>0.61</v>
      </c>
      <c r="K6" s="15">
        <v>0.93</v>
      </c>
      <c r="L6" s="15">
        <v>0.67</v>
      </c>
      <c r="M6" s="15">
        <v>0.71</v>
      </c>
      <c r="O6">
        <f>(E6-J6)*100</f>
        <v>-3.0000000000000027</v>
      </c>
      <c r="P6">
        <f t="shared" ref="P6:R6" si="1">(F6-K6)*100</f>
        <v>0</v>
      </c>
      <c r="Q6">
        <f t="shared" si="1"/>
        <v>-4.0000000000000036</v>
      </c>
      <c r="R6">
        <f t="shared" si="1"/>
        <v>-1.0000000000000009</v>
      </c>
    </row>
    <row r="7" spans="1:18" ht="15" x14ac:dyDescent="0.2">
      <c r="A7" s="17" t="s">
        <v>9</v>
      </c>
      <c r="B7" s="18" t="s">
        <v>12</v>
      </c>
      <c r="C7" s="18" t="s">
        <v>5</v>
      </c>
      <c r="D7" s="18" t="s">
        <v>13</v>
      </c>
      <c r="E7" s="19"/>
      <c r="F7" s="19"/>
      <c r="G7" s="19"/>
      <c r="H7" s="20"/>
      <c r="J7" s="19"/>
      <c r="K7" s="19"/>
      <c r="L7" s="19"/>
      <c r="M7" s="19"/>
    </row>
    <row r="8" spans="1:18" ht="15" x14ac:dyDescent="0.2">
      <c r="A8" s="17" t="s">
        <v>10</v>
      </c>
      <c r="B8" s="18" t="s">
        <v>12</v>
      </c>
      <c r="C8" s="18" t="s">
        <v>5</v>
      </c>
      <c r="D8" s="18" t="s">
        <v>13</v>
      </c>
      <c r="E8" s="19"/>
      <c r="F8" s="19"/>
      <c r="G8" s="19"/>
      <c r="H8" s="20"/>
      <c r="J8" s="19"/>
      <c r="K8" s="19"/>
      <c r="L8" s="19"/>
      <c r="M8" s="19"/>
    </row>
    <row r="9" spans="1:18" ht="15.75" thickBot="1" x14ac:dyDescent="0.25">
      <c r="A9" s="21" t="s">
        <v>11</v>
      </c>
      <c r="B9" s="22" t="s">
        <v>12</v>
      </c>
      <c r="C9" s="22" t="s">
        <v>5</v>
      </c>
      <c r="D9" s="22" t="s">
        <v>13</v>
      </c>
      <c r="E9" s="23"/>
      <c r="F9" s="23"/>
      <c r="G9" s="23"/>
      <c r="H9" s="24"/>
      <c r="J9" s="23"/>
      <c r="K9" s="23"/>
      <c r="L9" s="23"/>
      <c r="M9" s="23"/>
    </row>
    <row r="10" spans="1:18" ht="15" x14ac:dyDescent="0.2">
      <c r="A10" s="3" t="s">
        <v>8</v>
      </c>
      <c r="B10" s="4" t="s">
        <v>12</v>
      </c>
      <c r="C10" s="4" t="s">
        <v>6</v>
      </c>
      <c r="D10" s="4" t="s">
        <v>13</v>
      </c>
      <c r="E10" s="5">
        <v>0.61</v>
      </c>
      <c r="F10" s="5">
        <v>0.63</v>
      </c>
      <c r="G10" s="5">
        <v>0.91</v>
      </c>
      <c r="H10" s="6">
        <v>0.69</v>
      </c>
      <c r="J10" s="5">
        <v>0.61</v>
      </c>
      <c r="K10" s="5">
        <v>0.59</v>
      </c>
      <c r="L10" s="5">
        <v>0.96</v>
      </c>
      <c r="M10" s="5">
        <v>0.59</v>
      </c>
      <c r="O10">
        <f>(E10-J10)*100</f>
        <v>0</v>
      </c>
      <c r="P10">
        <f t="shared" ref="P10:R10" si="2">(F10-K10)*100</f>
        <v>4.0000000000000036</v>
      </c>
      <c r="Q10">
        <f t="shared" si="2"/>
        <v>-4.9999999999999929</v>
      </c>
      <c r="R10">
        <f t="shared" si="2"/>
        <v>9.9999999999999982</v>
      </c>
    </row>
    <row r="11" spans="1:18" ht="15" x14ac:dyDescent="0.2">
      <c r="A11" s="7" t="s">
        <v>9</v>
      </c>
      <c r="B11" s="1" t="s">
        <v>12</v>
      </c>
      <c r="C11" s="1" t="s">
        <v>6</v>
      </c>
      <c r="D11" s="1" t="s">
        <v>13</v>
      </c>
      <c r="H11" s="8"/>
    </row>
    <row r="12" spans="1:18" ht="15" x14ac:dyDescent="0.2">
      <c r="A12" s="7" t="s">
        <v>10</v>
      </c>
      <c r="B12" s="1" t="s">
        <v>12</v>
      </c>
      <c r="C12" s="1" t="s">
        <v>6</v>
      </c>
      <c r="D12" s="1" t="s">
        <v>13</v>
      </c>
      <c r="H12" s="8"/>
    </row>
    <row r="13" spans="1:18" ht="15.75" thickBot="1" x14ac:dyDescent="0.25">
      <c r="A13" s="9" t="s">
        <v>11</v>
      </c>
      <c r="B13" s="10" t="s">
        <v>12</v>
      </c>
      <c r="C13" s="10" t="s">
        <v>6</v>
      </c>
      <c r="D13" s="10" t="s">
        <v>13</v>
      </c>
      <c r="E13" s="11"/>
      <c r="F13" s="11"/>
      <c r="G13" s="11"/>
      <c r="H13" s="12"/>
      <c r="J13" s="11"/>
      <c r="K13" s="11"/>
      <c r="L13" s="11"/>
      <c r="M13" s="11"/>
    </row>
    <row r="14" spans="1:18" ht="15" x14ac:dyDescent="0.2">
      <c r="A14" s="13" t="s">
        <v>8</v>
      </c>
      <c r="B14" s="14" t="s">
        <v>12</v>
      </c>
      <c r="C14" s="14" t="s">
        <v>7</v>
      </c>
      <c r="D14" s="14" t="s">
        <v>13</v>
      </c>
      <c r="E14" s="15">
        <v>0.59</v>
      </c>
      <c r="F14" s="15">
        <v>0.59</v>
      </c>
      <c r="G14" s="15">
        <v>0.52</v>
      </c>
      <c r="H14" s="16">
        <v>0.9</v>
      </c>
      <c r="J14" s="15">
        <v>0.56999999999999995</v>
      </c>
      <c r="K14" s="15">
        <v>0.57999999999999996</v>
      </c>
      <c r="L14" s="15">
        <v>0.52</v>
      </c>
      <c r="M14" s="15">
        <v>0.88</v>
      </c>
      <c r="O14">
        <f>(E14-J14)*100</f>
        <v>2.0000000000000018</v>
      </c>
      <c r="P14">
        <f t="shared" ref="P14:R14" si="3">(F14-K14)*100</f>
        <v>1.0000000000000009</v>
      </c>
      <c r="Q14">
        <f t="shared" si="3"/>
        <v>0</v>
      </c>
      <c r="R14">
        <f t="shared" si="3"/>
        <v>2.0000000000000018</v>
      </c>
    </row>
    <row r="15" spans="1:18" ht="15" x14ac:dyDescent="0.2">
      <c r="A15" s="17" t="s">
        <v>9</v>
      </c>
      <c r="B15" s="18" t="s">
        <v>12</v>
      </c>
      <c r="C15" s="18" t="s">
        <v>7</v>
      </c>
      <c r="D15" s="18" t="s">
        <v>13</v>
      </c>
      <c r="E15" s="19"/>
      <c r="F15" s="19"/>
      <c r="G15" s="19"/>
      <c r="H15" s="20"/>
      <c r="J15" s="19"/>
      <c r="K15" s="19"/>
      <c r="L15" s="19"/>
      <c r="M15" s="19"/>
    </row>
    <row r="16" spans="1:18" ht="15" x14ac:dyDescent="0.2">
      <c r="A16" s="17" t="s">
        <v>10</v>
      </c>
      <c r="B16" s="18" t="s">
        <v>12</v>
      </c>
      <c r="C16" s="18" t="s">
        <v>7</v>
      </c>
      <c r="D16" s="18" t="s">
        <v>13</v>
      </c>
      <c r="E16" s="19"/>
      <c r="F16" s="19"/>
      <c r="G16" s="19"/>
      <c r="H16" s="20"/>
      <c r="J16" s="19"/>
      <c r="K16" s="19"/>
      <c r="L16" s="19"/>
      <c r="M16" s="19"/>
    </row>
    <row r="17" spans="1:18" ht="15.75" thickBot="1" x14ac:dyDescent="0.25">
      <c r="A17" s="21" t="s">
        <v>11</v>
      </c>
      <c r="B17" s="22" t="s">
        <v>12</v>
      </c>
      <c r="C17" s="22" t="s">
        <v>7</v>
      </c>
      <c r="D17" s="22" t="s">
        <v>13</v>
      </c>
      <c r="E17" s="23"/>
      <c r="F17" s="23"/>
      <c r="G17" s="23"/>
      <c r="H17" s="24"/>
      <c r="J17" s="23"/>
      <c r="K17" s="23"/>
      <c r="L17" s="23"/>
      <c r="M17" s="23"/>
    </row>
    <row r="20" spans="1:18" ht="32.25" customHeight="1" x14ac:dyDescent="0.25">
      <c r="E20" s="28" t="s">
        <v>17</v>
      </c>
      <c r="F20" s="28"/>
      <c r="G20" s="28"/>
      <c r="H20" s="28"/>
      <c r="J20" s="28" t="s">
        <v>18</v>
      </c>
      <c r="K20" s="28"/>
      <c r="L20" s="28"/>
      <c r="M20" s="28"/>
      <c r="O20" s="26" t="s">
        <v>16</v>
      </c>
      <c r="P20" s="26"/>
      <c r="Q20" s="26"/>
      <c r="R20" s="26"/>
    </row>
  </sheetData>
  <mergeCells count="3">
    <mergeCell ref="E20:H20"/>
    <mergeCell ref="J20:M20"/>
    <mergeCell ref="O20:R20"/>
  </mergeCells>
  <conditionalFormatting sqref="E2:H2 E6:H6 E10:H10 E14:H14">
    <cfRule type="colorScale" priority="5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conditionalFormatting sqref="J14:M14 J10:M10 J6:M6 J2:M2">
    <cfRule type="colorScale" priority="4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conditionalFormatting sqref="O2:R14">
    <cfRule type="cellIs" dxfId="0" priority="1" operator="lessThan">
      <formula>-1</formula>
    </cfRule>
    <cfRule type="cellIs" dxfId="1" priority="2" operator="greaterThan">
      <formula>1</formula>
    </cfRule>
    <cfRule type="cellIs" dxfId="2" priority="3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2025-06-03T14:48:54Z</dcterms:created>
  <dcterms:modified xsi:type="dcterms:W3CDTF">2025-06-08T10:48:04Z</dcterms:modified>
</cp:coreProperties>
</file>